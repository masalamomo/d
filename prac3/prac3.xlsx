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rush\Downloads\prac3\"/>
    </mc:Choice>
  </mc:AlternateContent>
  <xr:revisionPtr revIDLastSave="0" documentId="8_{D096AE14-94AA-4A36-A86F-F20EBEC69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14" i="3" s="1"/>
  <c r="C8" i="3"/>
  <c r="B15" i="3" s="1"/>
  <c r="B16" i="3" s="1"/>
  <c r="B17" i="3" l="1"/>
  <c r="B18" i="3" s="1"/>
</calcChain>
</file>

<file path=xl/sharedStrings.xml><?xml version="1.0" encoding="utf-8"?>
<sst xmlns="http://schemas.openxmlformats.org/spreadsheetml/2006/main" count="19" uniqueCount="19">
  <si>
    <t>Cost Item</t>
  </si>
  <si>
    <t>On-Premises / Year</t>
  </si>
  <si>
    <t>Cloud / Year</t>
  </si>
  <si>
    <t>Storage</t>
  </si>
  <si>
    <t>Network</t>
  </si>
  <si>
    <t>Backup / DR</t>
  </si>
  <si>
    <t>ROI</t>
  </si>
  <si>
    <t>Migration Cost</t>
  </si>
  <si>
    <t>Compute / Hosting</t>
  </si>
  <si>
    <t>Operations Staff</t>
  </si>
  <si>
    <t>Facilities / Power</t>
  </si>
  <si>
    <t>Total Annual Cost</t>
  </si>
  <si>
    <t>Calculation</t>
  </si>
  <si>
    <t>Value</t>
  </si>
  <si>
    <t>Analysis Period (Years)</t>
  </si>
  <si>
    <t>On-Premises 3-Year TCO</t>
  </si>
  <si>
    <t>Cloud 3-Year Recurring Cost</t>
  </si>
  <si>
    <t>Cloud 3-Year TCO</t>
  </si>
  <si>
    <t>TCO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</si>
</sst>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C061-F2A5-4B8C-BAED-C3198531D890}">
  <dimension ref="A1:C18"/>
  <sheetViews>
    <sheetView tabSelected="1" workbookViewId="0">
      <selection activeCell="B16" sqref="B16"/>
    </sheetView>
  </sheetViews>
  <sheetFormatPr defaultRowHeight="14.4" x14ac:dyDescent="0.3"/>
  <cols>
    <col min="1" max="1" width="27.109375" customWidth="1"/>
    <col min="2" max="2" width="17.33203125" customWidth="1"/>
    <col min="3" max="3" width="13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</v>
      </c>
      <c r="B2">
        <v>120000</v>
      </c>
      <c r="C2">
        <v>90000</v>
      </c>
    </row>
    <row r="3" spans="1:3" x14ac:dyDescent="0.3">
      <c r="A3" t="s">
        <v>3</v>
      </c>
      <c r="B3">
        <v>30000</v>
      </c>
      <c r="C3">
        <v>18000</v>
      </c>
    </row>
    <row r="4" spans="1:3" x14ac:dyDescent="0.3">
      <c r="A4" t="s">
        <v>4</v>
      </c>
      <c r="B4">
        <v>25000</v>
      </c>
      <c r="C4">
        <v>22000</v>
      </c>
    </row>
    <row r="5" spans="1:3" x14ac:dyDescent="0.3">
      <c r="A5" t="s">
        <v>9</v>
      </c>
      <c r="B5">
        <v>90000</v>
      </c>
      <c r="C5">
        <v>65000</v>
      </c>
    </row>
    <row r="6" spans="1:3" x14ac:dyDescent="0.3">
      <c r="A6" t="s">
        <v>5</v>
      </c>
      <c r="B6">
        <v>20000</v>
      </c>
      <c r="C6">
        <v>15000</v>
      </c>
    </row>
    <row r="7" spans="1:3" x14ac:dyDescent="0.3">
      <c r="A7" t="s">
        <v>10</v>
      </c>
      <c r="B7">
        <v>35000</v>
      </c>
      <c r="C7">
        <v>0</v>
      </c>
    </row>
    <row r="8" spans="1:3" x14ac:dyDescent="0.3">
      <c r="A8" t="s">
        <v>11</v>
      </c>
      <c r="B8">
        <f>SUM(B2:B7)</f>
        <v>320000</v>
      </c>
      <c r="C8">
        <f>SUM(C2:C7)</f>
        <v>210000</v>
      </c>
    </row>
    <row r="11" spans="1:3" x14ac:dyDescent="0.3">
      <c r="A11" s="1" t="s">
        <v>12</v>
      </c>
      <c r="B11" s="1" t="s">
        <v>13</v>
      </c>
    </row>
    <row r="12" spans="1:3" x14ac:dyDescent="0.3">
      <c r="A12" t="s">
        <v>14</v>
      </c>
      <c r="B12">
        <v>3</v>
      </c>
    </row>
    <row r="13" spans="1:3" x14ac:dyDescent="0.3">
      <c r="A13" t="s">
        <v>7</v>
      </c>
      <c r="B13">
        <v>120000</v>
      </c>
    </row>
    <row r="14" spans="1:3" x14ac:dyDescent="0.3">
      <c r="A14" t="s">
        <v>15</v>
      </c>
      <c r="B14">
        <f>B8*B12</f>
        <v>960000</v>
      </c>
    </row>
    <row r="15" spans="1:3" x14ac:dyDescent="0.3">
      <c r="A15" t="s">
        <v>16</v>
      </c>
      <c r="B15">
        <f>C8*B12</f>
        <v>630000</v>
      </c>
    </row>
    <row r="16" spans="1:3" x14ac:dyDescent="0.3">
      <c r="A16" t="s">
        <v>17</v>
      </c>
      <c r="B16">
        <f>B15+B13</f>
        <v>750000</v>
      </c>
    </row>
    <row r="17" spans="1:2" x14ac:dyDescent="0.3">
      <c r="A17" t="s">
        <v>18</v>
      </c>
      <c r="B17">
        <f>B14-B16</f>
        <v>210000</v>
      </c>
    </row>
    <row r="18" spans="1:2" x14ac:dyDescent="0.3">
      <c r="A18" t="s">
        <v>6</v>
      </c>
      <c r="B18">
        <f>(B17-B13)/B13</f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Vrushank Gotawala</cp:lastModifiedBy>
  <dcterms:created xsi:type="dcterms:W3CDTF">2026-10-13T13:02:05Z</dcterms:created>
  <dcterms:modified xsi:type="dcterms:W3CDTF">2026-10-13T13:14:12Z</dcterms:modified>
</cp:coreProperties>
</file>