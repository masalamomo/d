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ush\Downloads\prac4\"/>
    </mc:Choice>
  </mc:AlternateContent>
  <xr:revisionPtr revIDLastSave="0" documentId="8_{FE61EEE4-293C-45E2-9653-B357D9E06871}" xr6:coauthVersionLast="47" xr6:coauthVersionMax="47" xr10:uidLastSave="{00000000-0000-0000-0000-000000000000}"/>
  <bookViews>
    <workbookView xWindow="-108" yWindow="-108" windowWidth="23256" windowHeight="12456" xr2:uid="{CEF0A841-A18A-4C45-8523-19EC49C307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F3" i="1" s="1"/>
  <c r="E4" i="1"/>
  <c r="F4" i="1" s="1"/>
  <c r="E5" i="1"/>
  <c r="F5" i="1" s="1"/>
  <c r="E6" i="1"/>
  <c r="F6" i="1" s="1"/>
  <c r="B7" i="1"/>
  <c r="D7" i="1"/>
  <c r="B20" i="1"/>
  <c r="E7" i="1" l="1"/>
  <c r="B15" i="1"/>
  <c r="C11" i="1"/>
  <c r="B16" i="1"/>
  <c r="B19" i="1" l="1"/>
  <c r="B17" i="1"/>
  <c r="F7" i="1"/>
  <c r="B18" i="1" s="1"/>
  <c r="B21" i="1"/>
  <c r="D11" i="1"/>
  <c r="B22" i="1" l="1"/>
  <c r="E11" i="1"/>
</calcChain>
</file>

<file path=xl/sharedStrings.xml><?xml version="1.0" encoding="utf-8"?>
<sst xmlns="http://schemas.openxmlformats.org/spreadsheetml/2006/main" count="34" uniqueCount="33">
  <si>
    <t>FINOPS COST ANALYSIS AND OPTIMIZATION</t>
  </si>
  <si>
    <t>Service</t>
  </si>
  <si>
    <t>Before Optimization</t>
  </si>
  <si>
    <t>Optimization Action</t>
  </si>
  <si>
    <t>After Optimization</t>
  </si>
  <si>
    <t>Saving</t>
  </si>
  <si>
    <t>Saving %</t>
  </si>
  <si>
    <t>Compute</t>
  </si>
  <si>
    <t>Rightsize + schedule development</t>
  </si>
  <si>
    <t>Storage</t>
  </si>
  <si>
    <t>Lifecycle / archive</t>
  </si>
  <si>
    <t>Database</t>
  </si>
  <si>
    <t>Rightsize database</t>
  </si>
  <si>
    <t>Network</t>
  </si>
  <si>
    <t>Review transfer pattern</t>
  </si>
  <si>
    <t>TOTAL</t>
  </si>
  <si>
    <t>BUDGET ANALYSIS</t>
  </si>
  <si>
    <t>Metric</t>
  </si>
  <si>
    <t>Budget</t>
  </si>
  <si>
    <t>Actual</t>
  </si>
  <si>
    <t>Variance</t>
  </si>
  <si>
    <t>Variance %</t>
  </si>
  <si>
    <t>Monthly Cost</t>
  </si>
  <si>
    <t>DASHBOARD</t>
  </si>
  <si>
    <t>Value</t>
  </si>
  <si>
    <t>Monthly Spend Before Optimization</t>
  </si>
  <si>
    <t>Monthly Spend After Optimization</t>
  </si>
  <si>
    <t>Monthly Savings</t>
  </si>
  <si>
    <t>Percentage Savings</t>
  </si>
  <si>
    <t>Annualized Savings</t>
  </si>
  <si>
    <t>Monthly Budget</t>
  </si>
  <si>
    <t>Actual Spend</t>
  </si>
  <si>
    <t>Budget 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</si>
</sst>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98C01-60F4-47E8-88F2-958DA33E311B}">
  <dimension ref="A1:F22"/>
  <sheetViews>
    <sheetView tabSelected="1" workbookViewId="0">
      <selection activeCell="F3" sqref="F3"/>
    </sheetView>
  </sheetViews>
  <sheetFormatPr defaultRowHeight="14.4" x14ac:dyDescent="0.3"/>
  <cols>
    <col min="1" max="1" width="37.5546875" bestFit="1" customWidth="1"/>
    <col min="2" max="2" width="17.6640625" bestFit="1" customWidth="1"/>
    <col min="3" max="3" width="37.5546875" customWidth="1"/>
    <col min="4" max="4" width="16.109375" bestFit="1" customWidth="1"/>
    <col min="5" max="5" width="10" bestFit="1" customWidth="1"/>
    <col min="6" max="6" width="12" bestFit="1" customWidth="1"/>
  </cols>
  <sheetData>
    <row r="1" spans="1:6" ht="18" x14ac:dyDescent="0.35">
      <c r="C1" s="2" t="s">
        <v>0</v>
      </c>
    </row>
    <row r="2" spans="1:6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3">
      <c r="A3" t="s">
        <v>7</v>
      </c>
      <c r="B3">
        <v>40000</v>
      </c>
      <c r="C3" t="s">
        <v>8</v>
      </c>
      <c r="D3">
        <v>30000</v>
      </c>
      <c r="E3">
        <f>B3-D3</f>
        <v>10000</v>
      </c>
      <c r="F3" s="3">
        <f>E3/B3</f>
        <v>0.25</v>
      </c>
    </row>
    <row r="4" spans="1:6" x14ac:dyDescent="0.3">
      <c r="A4" t="s">
        <v>9</v>
      </c>
      <c r="B4">
        <v>12000</v>
      </c>
      <c r="C4" t="s">
        <v>10</v>
      </c>
      <c r="D4">
        <v>8500</v>
      </c>
      <c r="E4">
        <f>B4-D4</f>
        <v>3500</v>
      </c>
      <c r="F4" s="3">
        <f>E4/B4</f>
        <v>0.29166666666666669</v>
      </c>
    </row>
    <row r="5" spans="1:6" x14ac:dyDescent="0.3">
      <c r="A5" t="s">
        <v>11</v>
      </c>
      <c r="B5">
        <v>25000</v>
      </c>
      <c r="C5" t="s">
        <v>12</v>
      </c>
      <c r="D5">
        <v>21000</v>
      </c>
      <c r="E5">
        <f>B5-D5</f>
        <v>4000</v>
      </c>
      <c r="F5" s="3">
        <f>E5/B5</f>
        <v>0.16</v>
      </c>
    </row>
    <row r="6" spans="1:6" x14ac:dyDescent="0.3">
      <c r="A6" t="s">
        <v>13</v>
      </c>
      <c r="B6">
        <v>10000</v>
      </c>
      <c r="C6" t="s">
        <v>14</v>
      </c>
      <c r="D6">
        <v>9000</v>
      </c>
      <c r="E6">
        <f>B6-D6</f>
        <v>1000</v>
      </c>
      <c r="F6" s="3">
        <f>E6/B6</f>
        <v>0.1</v>
      </c>
    </row>
    <row r="7" spans="1:6" x14ac:dyDescent="0.3">
      <c r="A7" t="s">
        <v>15</v>
      </c>
      <c r="B7">
        <f>SUM(B3:B6)</f>
        <v>87000</v>
      </c>
      <c r="D7">
        <f>SUM(D3:D6)</f>
        <v>68500</v>
      </c>
      <c r="E7">
        <f>B7-D7</f>
        <v>18500</v>
      </c>
      <c r="F7" s="3">
        <f>E7/B7</f>
        <v>0.21264367816091953</v>
      </c>
    </row>
    <row r="9" spans="1:6" ht="18" x14ac:dyDescent="0.35">
      <c r="C9" s="2" t="s">
        <v>16</v>
      </c>
    </row>
    <row r="10" spans="1:6" x14ac:dyDescent="0.3">
      <c r="A10" s="1" t="s">
        <v>17</v>
      </c>
      <c r="B10" s="1" t="s">
        <v>18</v>
      </c>
      <c r="C10" s="1" t="s">
        <v>19</v>
      </c>
      <c r="D10" s="1" t="s">
        <v>20</v>
      </c>
      <c r="E10" s="1" t="s">
        <v>21</v>
      </c>
    </row>
    <row r="11" spans="1:6" x14ac:dyDescent="0.3">
      <c r="A11" t="s">
        <v>22</v>
      </c>
      <c r="B11">
        <v>80000</v>
      </c>
      <c r="C11">
        <f>D7</f>
        <v>68500</v>
      </c>
      <c r="D11">
        <f>C11-B11</f>
        <v>-11500</v>
      </c>
      <c r="E11" s="3">
        <f>D11/B11</f>
        <v>-0.14374999999999999</v>
      </c>
    </row>
    <row r="13" spans="1:6" ht="18" x14ac:dyDescent="0.35">
      <c r="C13" s="2" t="s">
        <v>23</v>
      </c>
    </row>
    <row r="14" spans="1:6" x14ac:dyDescent="0.3">
      <c r="A14" s="1" t="s">
        <v>17</v>
      </c>
      <c r="B14" s="1" t="s">
        <v>24</v>
      </c>
    </row>
    <row r="15" spans="1:6" x14ac:dyDescent="0.3">
      <c r="A15" t="s">
        <v>25</v>
      </c>
      <c r="B15">
        <f>B7</f>
        <v>87000</v>
      </c>
    </row>
    <row r="16" spans="1:6" x14ac:dyDescent="0.3">
      <c r="A16" t="s">
        <v>26</v>
      </c>
      <c r="B16">
        <f>D7</f>
        <v>68500</v>
      </c>
    </row>
    <row r="17" spans="1:2" x14ac:dyDescent="0.3">
      <c r="A17" t="s">
        <v>27</v>
      </c>
      <c r="B17">
        <f>E7</f>
        <v>18500</v>
      </c>
    </row>
    <row r="18" spans="1:2" x14ac:dyDescent="0.3">
      <c r="A18" t="s">
        <v>28</v>
      </c>
      <c r="B18" s="3">
        <f>F7</f>
        <v>0.21264367816091953</v>
      </c>
    </row>
    <row r="19" spans="1:2" x14ac:dyDescent="0.3">
      <c r="A19" t="s">
        <v>29</v>
      </c>
      <c r="B19">
        <f>E7*12</f>
        <v>222000</v>
      </c>
    </row>
    <row r="20" spans="1:2" x14ac:dyDescent="0.3">
      <c r="A20" t="s">
        <v>30</v>
      </c>
      <c r="B20">
        <f>B11</f>
        <v>80000</v>
      </c>
    </row>
    <row r="21" spans="1:2" x14ac:dyDescent="0.3">
      <c r="A21" t="s">
        <v>31</v>
      </c>
      <c r="B21">
        <f>C11</f>
        <v>68500</v>
      </c>
    </row>
    <row r="22" spans="1:2" x14ac:dyDescent="0.3">
      <c r="A22" t="s">
        <v>32</v>
      </c>
      <c r="B22">
        <f>D11</f>
        <v>-11500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Vrushank Gotawala</dc:creator>
  <cp:lastModifiedBy>Vrushank Gotawala</cp:lastModifiedBy>
  <dcterms:created xsi:type="dcterms:W3CDTF">2026-10-13T13:16:18Z</dcterms:created>
  <dcterms:modified xsi:type="dcterms:W3CDTF">2026-10-13T13:20:53Z</dcterms:modified>
</cp:coreProperties>
</file>